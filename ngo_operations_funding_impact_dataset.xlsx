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c1fb29ee8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_Impact" sheetId="1" r:id="Rd4fd3189fe0645a3"/>
    <x:sheet xmlns:r="http://schemas.openxmlformats.org/officeDocument/2006/relationships" name="Funding_Donor_Tracking" sheetId="2" r:id="Rd5b120745a2d4e15"/>
    <x:sheet xmlns:r="http://schemas.openxmlformats.org/officeDocument/2006/relationships" name="Operations_Monitoring" sheetId="3" r:id="R828ea84e91534b30"/>
    <x:sheet xmlns:r="http://schemas.openxmlformats.org/officeDocument/2006/relationships" name="Dashboard_Summary" sheetId="4" r:id="Re7a941b1f1834901"/>
    <x:sheet xmlns:r="http://schemas.openxmlformats.org/officeDocument/2006/relationships" name="README" sheetId="5" r:id="Rbb5b589d582b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0.0%"/>
    <x:numFmt numFmtId="202" formatCode="$#,##0.0"/>
    <x:numFmt numFmtId="203" formatCode="0%"/>
    <x:numFmt numFmtId="204" formatCode="#,##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356db0cdc4e8b" /><Relationship Type="http://schemas.openxmlformats.org/officeDocument/2006/relationships/theme" Target="/xl/theme/theme1.xml" Id="R701c768087974a1d" /><Relationship Type="http://schemas.openxmlformats.org/officeDocument/2006/relationships/sharedStrings" Target="/xl/sharedStrings.xml" Id="R96d524de7eb141b3" /><Relationship Type="http://schemas.openxmlformats.org/officeDocument/2006/relationships/worksheet" Target="/xl/worksheets/sheet1.xml" Id="Rd4fd3189fe0645a3" /><Relationship Type="http://schemas.openxmlformats.org/officeDocument/2006/relationships/worksheet" Target="/xl/worksheets/sheet2.xml" Id="Rd5b120745a2d4e15" /><Relationship Type="http://schemas.openxmlformats.org/officeDocument/2006/relationships/worksheet" Target="/xl/worksheets/sheet3.xml" Id="R828ea84e91534b30" /><Relationship Type="http://schemas.openxmlformats.org/officeDocument/2006/relationships/worksheet" Target="/xl/worksheets/sheet4.xml" Id="Re7a941b1f1834901" /><Relationship Type="http://schemas.openxmlformats.org/officeDocument/2006/relationships/worksheet" Target="/xl/worksheets/sheet5.xml" Id="Rbb5b589d582b46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7db71572184dc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f0eae3ba13d40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Funding Used by Donor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Funding Source Type</c:v>
          </c:tx>
          <c:cat>
            <c:strRef>
              <c:f>'Funding_Donor_Tracking'!$B$2:$B$13</c:f>
              <c:strCache>
                <c:ptCount val="0"/>
              </c:strCache>
            </c:strRef>
          </c:cat>
          <c:val>
            <c:numRef>
              <c:f>'Funding_Donor_Tracking'!$C$2:$C$13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Program Funded</c:v>
          </c:tx>
          <c:cat>
            <c:strRef>
              <c:f>'Funding_Donor_Tracking'!$B$2:$B$13</c:f>
              <c:strCache>
                <c:ptCount val="0"/>
              </c:strCache>
            </c:strRef>
          </c:cat>
          <c:val>
            <c:numRef>
              <c:f>'Funding_Donor_Tracking'!$D$2:$D$13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Grant Amount USD</c:v>
          </c:tx>
          <c:cat>
            <c:strRef>
              <c:f>'Funding_Donor_Tracking'!$B$2:$B$13</c:f>
              <c:strCache>
                <c:ptCount val="0"/>
              </c:strCache>
            </c:strRef>
          </c:cat>
          <c:val>
            <c:numRef>
              <c:f>'Funding_Donor_Tracking'!$E$2:$E$13</c:f>
              <c:numCache>
                <c:formatCode>$#,##0</c:formatCode>
                <c:ptCount val="0"/>
              </c:numCache>
            </c:numRef>
          </c:val>
        </c:ser>
        <c:ser>
          <c:idx val="3"/>
          <c:order val="3"/>
          <c:tx>
            <c:v>Funding Received USD</c:v>
          </c:tx>
          <c:cat>
            <c:strRef>
              <c:f>'Funding_Donor_Tracking'!$B$2:$B$13</c:f>
              <c:strCache>
                <c:ptCount val="0"/>
              </c:strCache>
            </c:strRef>
          </c:cat>
          <c:val>
            <c:numRef>
              <c:f>'Funding_Donor_Tracking'!$F$2:$F$13</c:f>
              <c:numCache>
                <c:formatCode>$#,##0</c:formatCode>
                <c:ptCount val="0"/>
              </c:numCache>
            </c:numRef>
          </c:val>
        </c:ser>
        <c:ser>
          <c:idx val="4"/>
          <c:order val="4"/>
          <c:tx>
            <c:v>Funding Used USD</c:v>
          </c:tx>
          <c:cat>
            <c:strRef>
              <c:f>'Funding_Donor_Tracking'!$B$2:$B$13</c:f>
              <c:strCache>
                <c:ptCount val="0"/>
              </c:strCache>
            </c:strRef>
          </c:cat>
          <c:val>
            <c:numRef>
              <c:f>'Funding_Donor_Tracking'!$G$2:$G$13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Key Impact Metrics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'Dashboard_Summary'!$A$2:$A$5</c:f>
              <c:strCache>
                <c:ptCount val="0"/>
              </c:strCache>
            </c:strRef>
          </c:cat>
          <c:val>
            <c:numRef>
              <c:f>'Dashboard_Summary'!$B$2:$B$5</c:f>
              <c:numCache>
                <c:formatCode>#,##0.0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7db71572184dc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0eae3ba13d403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gramImpactTable" displayName="ProgramImpactTable" ref="A1:O37" headerRowCount="1">
  <x:tableColumns count="15">
    <x:tableColumn id="1" name="Month"/>
    <x:tableColumn id="2" name="Region"/>
    <x:tableColumn id="3" name="District"/>
    <x:tableColumn id="4" name="Program"/>
    <x:tableColumn id="5" name="Target Group"/>
    <x:tableColumn id="6" name="Beneficiaries Reached"/>
    <x:tableColumn id="7" name="Female Beneficiaries"/>
    <x:tableColumn id="8" name="Male Beneficiaries"/>
    <x:tableColumn id="9" name="Children Supported"/>
    <x:tableColumn id="10" name="Refugees Supported"/>
    <x:tableColumn id="11" name="Local Vulnerable People"/>
    <x:tableColumn id="12" name="Training Sessions"/>
    <x:tableColumn id="13" name="Cases Resolved"/>
    <x:tableColumn id="14" name="Satisfaction Rate %"/>
    <x:tableColumn id="15" name="SDG Alignment"/>
  </x:tableColumns>
  <x:tableStyleInfo name="TableStyleMedium2" showRowStripes="1"/>
</x:table>
</file>

<file path=xl/tables/table2.xml><?xml version="1.0" encoding="utf-8"?>
<x:table xmlns:x="http://schemas.openxmlformats.org/spreadsheetml/2006/main" id="2" name="FundingDonorTable" displayName="FundingDonorTable" ref="A1:K13" headerRowCount="1">
  <x:tableColumns count="11">
    <x:tableColumn id="1" name="Quarter"/>
    <x:tableColumn id="2" name="Donor Name"/>
    <x:tableColumn id="3" name="Funding Source Type"/>
    <x:tableColumn id="4" name="Program Funded"/>
    <x:tableColumn id="5" name="Grant Amount USD"/>
    <x:tableColumn id="6" name="Funding Received USD"/>
    <x:tableColumn id="7" name="Funding Used USD"/>
    <x:tableColumn id="8" name="Remaining Budget USD"/>
    <x:tableColumn id="9" name="Funding Utilization %"/>
    <x:tableColumn id="10" name="Cost Per Beneficiary USD"/>
    <x:tableColumn id="11" name="Reporting Status"/>
  </x:tableColumns>
  <x:tableStyleInfo name="TableStyleMedium2" showRowStripes="1"/>
</x:table>
</file>

<file path=xl/tables/table3.xml><?xml version="1.0" encoding="utf-8"?>
<x:table xmlns:x="http://schemas.openxmlformats.org/spreadsheetml/2006/main" id="3" name="OperationsMonitoringTable" displayName="OperationsMonitoringTable" ref="A1:J13" headerRowCount="1">
  <x:tableColumns count="10">
    <x:tableColumn id="1" name="Month"/>
    <x:tableColumn id="2" name="Staff Count"/>
    <x:tableColumn id="3" name="Volunteers"/>
    <x:tableColumn id="4" name="Field Visits"/>
    <x:tableColumn id="5" name="Community Meetings"/>
    <x:tableColumn id="6" name="Donor Reports Submitted"/>
    <x:tableColumn id="7" name="Avg Case Response Time Days"/>
    <x:tableColumn id="8" name="Data Quality Score %"/>
    <x:tableColumn id="9" name="Monitoring Visits Completed"/>
    <x:tableColumn id="10" name="Operational Risk Level"/>
  </x:tableColumns>
  <x:tableStyleInfo name="TableStyleMedium2" showRowStripes="1"/>
</x:table>
</file>

<file path=xl/tables/table4.xml><?xml version="1.0" encoding="utf-8"?>
<x:table xmlns:x="http://schemas.openxmlformats.org/spreadsheetml/2006/main" id="4" name="DashboardSummaryTable" displayName="DashboardSummaryTable" ref="A1:E10" headerRowCount="1">
  <x:tableColumns count="5">
    <x:tableColumn id="1" name="Metric"/>
    <x:tableColumn id="2" name="Value"/>
    <x:tableColumn id="3" name="Notes"/>
    <x:tableColumn id="4" name="Source Sheet"/>
    <x:tableColumn id="5" name="Formula/Log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79703db2d349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00895bb13be409e" /><Relationship Type="http://schemas.openxmlformats.org/officeDocument/2006/relationships/table" Target="/xl/tables/table2.xml" Id="Rb66131d6ecb046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4e82cee44f4e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858f3560642a4193" /><Relationship Type="http://schemas.openxmlformats.org/officeDocument/2006/relationships/table" Target="/xl/tables/table4.xml" Id="R0ed693253fe1493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</x:cols>
  <x:sheetData>
    <x:row r="1" ht="34" customHeight="1">
      <x:c r="A1" s="6" t="str">
        <x:v>Month</x:v>
      </x:c>
      <x:c r="B1" s="6" t="str">
        <x:v>Region</x:v>
      </x:c>
      <x:c r="C1" s="6" t="str">
        <x:v>District</x:v>
      </x:c>
      <x:c r="D1" s="6" t="str">
        <x:v>Program</x:v>
      </x:c>
      <x:c r="E1" s="6" t="str">
        <x:v>Target Group</x:v>
      </x:c>
      <x:c r="F1" s="6" t="str">
        <x:v>Beneficiaries Reached</x:v>
      </x:c>
      <x:c r="G1" s="6" t="str">
        <x:v>Female Beneficiaries</x:v>
      </x:c>
      <x:c r="H1" s="6" t="str">
        <x:v>Male Beneficiaries</x:v>
      </x:c>
      <x:c r="I1" s="6" t="str">
        <x:v>Children Supported</x:v>
      </x:c>
      <x:c r="J1" s="6" t="str">
        <x:v>Refugees Supported</x:v>
      </x:c>
      <x:c r="K1" s="6" t="str">
        <x:v>Local Vulnerable People</x:v>
      </x:c>
      <x:c r="L1" s="6" t="str">
        <x:v>Training Sessions</x:v>
      </x:c>
      <x:c r="M1" s="6" t="str">
        <x:v>Cases Resolved</x:v>
      </x:c>
      <x:c r="N1" s="6" t="str">
        <x:v>Satisfaction Rate %</x:v>
      </x:c>
      <x:c r="O1" s="6" t="str">
        <x:v>SDG Alignment</x:v>
      </x:c>
    </x:row>
    <x:row r="2">
      <x:c r="A2" t="str">
        <x:v>Jan</x:v>
      </x:c>
      <x:c r="B2" t="str">
        <x:v>Kigali</x:v>
      </x:c>
      <x:c r="C2" t="str">
        <x:v>Gasabo</x:v>
      </x:c>
      <x:c r="D2" t="str">
        <x:v>Education Support</x:v>
      </x:c>
      <x:c r="E2" t="str">
        <x:v>Refugees &amp; Vulnerable Youth</x:v>
      </x:c>
      <x:c r="F2" t="n">
        <x:v>320</x:v>
      </x:c>
      <x:c r="G2" t="n">
        <x:v>175</x:v>
      </x:c>
      <x:c r="H2" t="n">
        <x:v>145</x:v>
      </x:c>
      <x:c r="I2" t="n">
        <x:v>210</x:v>
      </x:c>
      <x:c r="J2" t="n">
        <x:v>180</x:v>
      </x:c>
      <x:c r="K2" t="n">
        <x:v>140</x:v>
      </x:c>
      <x:c r="L2" t="n">
        <x:v>6</x:v>
      </x:c>
      <x:c r="M2" t="n">
        <x:v>48</x:v>
      </x:c>
      <x:c r="N2" s="20" t="n">
        <x:v>88</x:v>
      </x:c>
      <x:c r="O2" t="str">
        <x:v>SDG 4 - Quality Education</x:v>
      </x:c>
    </x:row>
    <x:row r="3">
      <x:c r="A3" t="str">
        <x:v>Jan</x:v>
      </x:c>
      <x:c r="B3" t="str">
        <x:v>Eastern Province</x:v>
      </x:c>
      <x:c r="C3" t="str">
        <x:v>Kirehe</x:v>
      </x:c>
      <x:c r="D3" t="str">
        <x:v>Food Assistance</x:v>
      </x:c>
      <x:c r="E3" t="str">
        <x:v>Refugees &amp; Low-income Families</x:v>
      </x:c>
      <x:c r="F3" t="n">
        <x:v>540</x:v>
      </x:c>
      <x:c r="G3" t="n">
        <x:v>290</x:v>
      </x:c>
      <x:c r="H3" t="n">
        <x:v>250</x:v>
      </x:c>
      <x:c r="I3" t="n">
        <x:v>310</x:v>
      </x:c>
      <x:c r="J3" t="n">
        <x:v>360</x:v>
      </x:c>
      <x:c r="K3" t="n">
        <x:v>180</x:v>
      </x:c>
      <x:c r="L3" t="n">
        <x:v>3</x:v>
      </x:c>
      <x:c r="M3" t="n">
        <x:v>72</x:v>
      </x:c>
      <x:c r="N3" s="20" t="n">
        <x:v>86</x:v>
      </x:c>
      <x:c r="O3" t="str">
        <x:v>SDG 2 - Zero Hunger</x:v>
      </x:c>
    </x:row>
    <x:row r="4">
      <x:c r="A4" t="str">
        <x:v>Jan</x:v>
      </x:c>
      <x:c r="B4" t="str">
        <x:v>Southern Province</x:v>
      </x:c>
      <x:c r="C4" t="str">
        <x:v>Huye</x:v>
      </x:c>
      <x:c r="D4" t="str">
        <x:v>Healthcare Outreach</x:v>
      </x:c>
      <x:c r="E4" t="str">
        <x:v>Women &amp; Children</x:v>
      </x:c>
      <x:c r="F4" t="n">
        <x:v>280</x:v>
      </x:c>
      <x:c r="G4" t="n">
        <x:v>165</x:v>
      </x:c>
      <x:c r="H4" t="n">
        <x:v>115</x:v>
      </x:c>
      <x:c r="I4" t="n">
        <x:v>170</x:v>
      </x:c>
      <x:c r="J4" t="n">
        <x:v>90</x:v>
      </x:c>
      <x:c r="K4" t="n">
        <x:v>190</x:v>
      </x:c>
      <x:c r="L4" t="n">
        <x:v>4</x:v>
      </x:c>
      <x:c r="M4" t="n">
        <x:v>41</x:v>
      </x:c>
      <x:c r="N4" s="20" t="n">
        <x:v>84</x:v>
      </x:c>
      <x:c r="O4" t="str">
        <x:v>SDG 3 - Good Health</x:v>
      </x:c>
    </x:row>
    <x:row r="5">
      <x:c r="A5" t="str">
        <x:v>Feb</x:v>
      </x:c>
      <x:c r="B5" t="str">
        <x:v>Kigali</x:v>
      </x:c>
      <x:c r="C5" t="str">
        <x:v>Nyarugenge</x:v>
      </x:c>
      <x:c r="D5" t="str">
        <x:v>Livelihood Training</x:v>
      </x:c>
      <x:c r="E5" t="str">
        <x:v>Youth &amp; Women</x:v>
      </x:c>
      <x:c r="F5" t="n">
        <x:v>210</x:v>
      </x:c>
      <x:c r="G5" t="n">
        <x:v>130</x:v>
      </x:c>
      <x:c r="H5" t="n">
        <x:v>80</x:v>
      </x:c>
      <x:c r="I5" t="n">
        <x:v>55</x:v>
      </x:c>
      <x:c r="J5" t="n">
        <x:v>75</x:v>
      </x:c>
      <x:c r="K5" t="n">
        <x:v>135</x:v>
      </x:c>
      <x:c r="L5" t="n">
        <x:v>5</x:v>
      </x:c>
      <x:c r="M5" t="n">
        <x:v>36</x:v>
      </x:c>
      <x:c r="N5" s="20" t="n">
        <x:v>89</x:v>
      </x:c>
      <x:c r="O5" t="str">
        <x:v>SDG 8 - Decent Work</x:v>
      </x:c>
    </x:row>
    <x:row r="6">
      <x:c r="A6" t="str">
        <x:v>Feb</x:v>
      </x:c>
      <x:c r="B6" t="str">
        <x:v>Eastern Province</x:v>
      </x:c>
      <x:c r="C6" t="str">
        <x:v>Bugesera</x:v>
      </x:c>
      <x:c r="D6" t="str">
        <x:v>Education Support</x:v>
      </x:c>
      <x:c r="E6" t="str">
        <x:v>Refugees &amp; Vulnerable Youth</x:v>
      </x:c>
      <x:c r="F6" t="n">
        <x:v>390</x:v>
      </x:c>
      <x:c r="G6" t="n">
        <x:v>205</x:v>
      </x:c>
      <x:c r="H6" t="n">
        <x:v>185</x:v>
      </x:c>
      <x:c r="I6" t="n">
        <x:v>265</x:v>
      </x:c>
      <x:c r="J6" t="n">
        <x:v>250</x:v>
      </x:c>
      <x:c r="K6" t="n">
        <x:v>140</x:v>
      </x:c>
      <x:c r="L6" t="n">
        <x:v>7</x:v>
      </x:c>
      <x:c r="M6" t="n">
        <x:v>55</x:v>
      </x:c>
      <x:c r="N6" s="20" t="n">
        <x:v>90</x:v>
      </x:c>
      <x:c r="O6" t="str">
        <x:v>SDG 4 - Quality Education</x:v>
      </x:c>
    </x:row>
    <x:row r="7">
      <x:c r="A7" t="str">
        <x:v>Feb</x:v>
      </x:c>
      <x:c r="B7" t="str">
        <x:v>Western Province</x:v>
      </x:c>
      <x:c r="C7" t="str">
        <x:v>Rubavu</x:v>
      </x:c>
      <x:c r="D7" t="str">
        <x:v>Protection &amp; Case Management</x:v>
      </x:c>
      <x:c r="E7" t="str">
        <x:v>Refugees &amp; At-risk Families</x:v>
      </x:c>
      <x:c r="F7" t="n">
        <x:v>260</x:v>
      </x:c>
      <x:c r="G7" t="n">
        <x:v>150</x:v>
      </x:c>
      <x:c r="H7" t="n">
        <x:v>110</x:v>
      </x:c>
      <x:c r="I7" t="n">
        <x:v>135</x:v>
      </x:c>
      <x:c r="J7" t="n">
        <x:v>170</x:v>
      </x:c>
      <x:c r="K7" t="n">
        <x:v>90</x:v>
      </x:c>
      <x:c r="L7" t="n">
        <x:v>4</x:v>
      </x:c>
      <x:c r="M7" t="n">
        <x:v>62</x:v>
      </x:c>
      <x:c r="N7" s="20" t="n">
        <x:v>87</x:v>
      </x:c>
      <x:c r="O7" t="str">
        <x:v>SDG 10 - Reduced Inequalities</x:v>
      </x:c>
    </x:row>
    <x:row r="8">
      <x:c r="A8" t="str">
        <x:v>Mar</x:v>
      </x:c>
      <x:c r="B8" t="str">
        <x:v>Kigali</x:v>
      </x:c>
      <x:c r="C8" t="str">
        <x:v>Gasabo</x:v>
      </x:c>
      <x:c r="D8" t="str">
        <x:v>Food Assistance</x:v>
      </x:c>
      <x:c r="E8" t="str">
        <x:v>Refugees &amp; Low-income Families</x:v>
      </x:c>
      <x:c r="F8" t="n">
        <x:v>610</x:v>
      </x:c>
      <x:c r="G8" t="n">
        <x:v>335</x:v>
      </x:c>
      <x:c r="H8" t="n">
        <x:v>275</x:v>
      </x:c>
      <x:c r="I8" t="n">
        <x:v>350</x:v>
      </x:c>
      <x:c r="J8" t="n">
        <x:v>410</x:v>
      </x:c>
      <x:c r="K8" t="n">
        <x:v>200</x:v>
      </x:c>
      <x:c r="L8" t="n">
        <x:v>4</x:v>
      </x:c>
      <x:c r="M8" t="n">
        <x:v>81</x:v>
      </x:c>
      <x:c r="N8" s="20" t="n">
        <x:v>88</x:v>
      </x:c>
      <x:c r="O8" t="str">
        <x:v>SDG 2 - Zero Hunger</x:v>
      </x:c>
    </x:row>
    <x:row r="9">
      <x:c r="A9" t="str">
        <x:v>Mar</x:v>
      </x:c>
      <x:c r="B9" t="str">
        <x:v>Eastern Province</x:v>
      </x:c>
      <x:c r="C9" t="str">
        <x:v>Kirehe</x:v>
      </x:c>
      <x:c r="D9" t="str">
        <x:v>Healthcare Outreach</x:v>
      </x:c>
      <x:c r="E9" t="str">
        <x:v>Women &amp; Children</x:v>
      </x:c>
      <x:c r="F9" t="n">
        <x:v>330</x:v>
      </x:c>
      <x:c r="G9" t="n">
        <x:v>190</x:v>
      </x:c>
      <x:c r="H9" t="n">
        <x:v>140</x:v>
      </x:c>
      <x:c r="I9" t="n">
        <x:v>205</x:v>
      </x:c>
      <x:c r="J9" t="n">
        <x:v>160</x:v>
      </x:c>
      <x:c r="K9" t="n">
        <x:v>170</x:v>
      </x:c>
      <x:c r="L9" t="n">
        <x:v>5</x:v>
      </x:c>
      <x:c r="M9" t="n">
        <x:v>49</x:v>
      </x:c>
      <x:c r="N9" s="20" t="n">
        <x:v>85</x:v>
      </x:c>
      <x:c r="O9" t="str">
        <x:v>SDG 3 - Good Health</x:v>
      </x:c>
    </x:row>
    <x:row r="10">
      <x:c r="A10" t="str">
        <x:v>Mar</x:v>
      </x:c>
      <x:c r="B10" t="str">
        <x:v>Southern Province</x:v>
      </x:c>
      <x:c r="C10" t="str">
        <x:v>Huye</x:v>
      </x:c>
      <x:c r="D10" t="str">
        <x:v>Livelihood Training</x:v>
      </x:c>
      <x:c r="E10" t="str">
        <x:v>Youth &amp; Women</x:v>
      </x:c>
      <x:c r="F10" t="n">
        <x:v>240</x:v>
      </x:c>
      <x:c r="G10" t="n">
        <x:v>145</x:v>
      </x:c>
      <x:c r="H10" t="n">
        <x:v>95</x:v>
      </x:c>
      <x:c r="I10" t="n">
        <x:v>70</x:v>
      </x:c>
      <x:c r="J10" t="n">
        <x:v>80</x:v>
      </x:c>
      <x:c r="K10" t="n">
        <x:v>160</x:v>
      </x:c>
      <x:c r="L10" t="n">
        <x:v>6</x:v>
      </x:c>
      <x:c r="M10" t="n">
        <x:v>42</x:v>
      </x:c>
      <x:c r="N10" s="20" t="n">
        <x:v>91</x:v>
      </x:c>
      <x:c r="O10" t="str">
        <x:v>SDG 8 - Decent Work</x:v>
      </x:c>
    </x:row>
    <x:row r="11">
      <x:c r="A11" t="str">
        <x:v>Apr</x:v>
      </x:c>
      <x:c r="B11" t="str">
        <x:v>Kigali</x:v>
      </x:c>
      <x:c r="C11" t="str">
        <x:v>Nyarugenge</x:v>
      </x:c>
      <x:c r="D11" t="str">
        <x:v>Protection &amp; Case Management</x:v>
      </x:c>
      <x:c r="E11" t="str">
        <x:v>Refugees &amp; At-risk Families</x:v>
      </x:c>
      <x:c r="F11" t="n">
        <x:v>300</x:v>
      </x:c>
      <x:c r="G11" t="n">
        <x:v>170</x:v>
      </x:c>
      <x:c r="H11" t="n">
        <x:v>130</x:v>
      </x:c>
      <x:c r="I11" t="n">
        <x:v>145</x:v>
      </x:c>
      <x:c r="J11" t="n">
        <x:v>205</x:v>
      </x:c>
      <x:c r="K11" t="n">
        <x:v>95</x:v>
      </x:c>
      <x:c r="L11" t="n">
        <x:v>5</x:v>
      </x:c>
      <x:c r="M11" t="n">
        <x:v>73</x:v>
      </x:c>
      <x:c r="N11" s="20" t="n">
        <x:v>89</x:v>
      </x:c>
      <x:c r="O11" t="str">
        <x:v>SDG 10 - Reduced Inequalities</x:v>
      </x:c>
    </x:row>
    <x:row r="12">
      <x:c r="A12" t="str">
        <x:v>Apr</x:v>
      </x:c>
      <x:c r="B12" t="str">
        <x:v>Eastern Province</x:v>
      </x:c>
      <x:c r="C12" t="str">
        <x:v>Bugesera</x:v>
      </x:c>
      <x:c r="D12" t="str">
        <x:v>Food Assistance</x:v>
      </x:c>
      <x:c r="E12" t="str">
        <x:v>Refugees &amp; Low-income Families</x:v>
      </x:c>
      <x:c r="F12" t="n">
        <x:v>680</x:v>
      </x:c>
      <x:c r="G12" t="n">
        <x:v>360</x:v>
      </x:c>
      <x:c r="H12" t="n">
        <x:v>320</x:v>
      </x:c>
      <x:c r="I12" t="n">
        <x:v>395</x:v>
      </x:c>
      <x:c r="J12" t="n">
        <x:v>455</x:v>
      </x:c>
      <x:c r="K12" t="n">
        <x:v>225</x:v>
      </x:c>
      <x:c r="L12" t="n">
        <x:v>4</x:v>
      </x:c>
      <x:c r="M12" t="n">
        <x:v>94</x:v>
      </x:c>
      <x:c r="N12" s="20" t="n">
        <x:v>87</x:v>
      </x:c>
      <x:c r="O12" t="str">
        <x:v>SDG 2 - Zero Hunger</x:v>
      </x:c>
    </x:row>
    <x:row r="13">
      <x:c r="A13" t="str">
        <x:v>Apr</x:v>
      </x:c>
      <x:c r="B13" t="str">
        <x:v>Western Province</x:v>
      </x:c>
      <x:c r="C13" t="str">
        <x:v>Rubavu</x:v>
      </x:c>
      <x:c r="D13" t="str">
        <x:v>Education Support</x:v>
      </x:c>
      <x:c r="E13" t="str">
        <x:v>Refugees &amp; Vulnerable Youth</x:v>
      </x:c>
      <x:c r="F13" t="n">
        <x:v>430</x:v>
      </x:c>
      <x:c r="G13" t="n">
        <x:v>230</x:v>
      </x:c>
      <x:c r="H13" t="n">
        <x:v>200</x:v>
      </x:c>
      <x:c r="I13" t="n">
        <x:v>300</x:v>
      </x:c>
      <x:c r="J13" t="n">
        <x:v>285</x:v>
      </x:c>
      <x:c r="K13" t="n">
        <x:v>145</x:v>
      </x:c>
      <x:c r="L13" t="n">
        <x:v>8</x:v>
      </x:c>
      <x:c r="M13" t="n">
        <x:v>60</x:v>
      </x:c>
      <x:c r="N13" s="20" t="n">
        <x:v>91</x:v>
      </x:c>
      <x:c r="O13" t="str">
        <x:v>SDG 4 - Quality Education</x:v>
      </x:c>
    </x:row>
    <x:row r="14">
      <x:c r="A14" t="str">
        <x:v>May</x:v>
      </x:c>
      <x:c r="B14" t="str">
        <x:v>Kigali</x:v>
      </x:c>
      <x:c r="C14" t="str">
        <x:v>Gasabo</x:v>
      </x:c>
      <x:c r="D14" t="str">
        <x:v>Healthcare Outreach</x:v>
      </x:c>
      <x:c r="E14" t="str">
        <x:v>Women &amp; Children</x:v>
      </x:c>
      <x:c r="F14" t="n">
        <x:v>360</x:v>
      </x:c>
      <x:c r="G14" t="n">
        <x:v>215</x:v>
      </x:c>
      <x:c r="H14" t="n">
        <x:v>145</x:v>
      </x:c>
      <x:c r="I14" t="n">
        <x:v>225</x:v>
      </x:c>
      <x:c r="J14" t="n">
        <x:v>135</x:v>
      </x:c>
      <x:c r="K14" t="n">
        <x:v>225</x:v>
      </x:c>
      <x:c r="L14" t="n">
        <x:v>5</x:v>
      </x:c>
      <x:c r="M14" t="n">
        <x:v>54</x:v>
      </x:c>
      <x:c r="N14" s="20" t="n">
        <x:v>86</x:v>
      </x:c>
      <x:c r="O14" t="str">
        <x:v>SDG 3 - Good Health</x:v>
      </x:c>
    </x:row>
    <x:row r="15">
      <x:c r="A15" t="str">
        <x:v>May</x:v>
      </x:c>
      <x:c r="B15" t="str">
        <x:v>Eastern Province</x:v>
      </x:c>
      <x:c r="C15" t="str">
        <x:v>Kirehe</x:v>
      </x:c>
      <x:c r="D15" t="str">
        <x:v>Livelihood Training</x:v>
      </x:c>
      <x:c r="E15" t="str">
        <x:v>Youth &amp; Women</x:v>
      </x:c>
      <x:c r="F15" t="n">
        <x:v>270</x:v>
      </x:c>
      <x:c r="G15" t="n">
        <x:v>160</x:v>
      </x:c>
      <x:c r="H15" t="n">
        <x:v>110</x:v>
      </x:c>
      <x:c r="I15" t="n">
        <x:v>80</x:v>
      </x:c>
      <x:c r="J15" t="n">
        <x:v>95</x:v>
      </x:c>
      <x:c r="K15" t="n">
        <x:v>175</x:v>
      </x:c>
      <x:c r="L15" t="n">
        <x:v>7</x:v>
      </x:c>
      <x:c r="M15" t="n">
        <x:v>47</x:v>
      </x:c>
      <x:c r="N15" s="20" t="n">
        <x:v>92</x:v>
      </x:c>
      <x:c r="O15" t="str">
        <x:v>SDG 8 - Decent Work</x:v>
      </x:c>
    </x:row>
    <x:row r="16">
      <x:c r="A16" t="str">
        <x:v>May</x:v>
      </x:c>
      <x:c r="B16" t="str">
        <x:v>Southern Province</x:v>
      </x:c>
      <x:c r="C16" t="str">
        <x:v>Huye</x:v>
      </x:c>
      <x:c r="D16" t="str">
        <x:v>Food Assistance</x:v>
      </x:c>
      <x:c r="E16" t="str">
        <x:v>Refugees &amp; Low-income Families</x:v>
      </x:c>
      <x:c r="F16" t="n">
        <x:v>590</x:v>
      </x:c>
      <x:c r="G16" t="n">
        <x:v>315</x:v>
      </x:c>
      <x:c r="H16" t="n">
        <x:v>275</x:v>
      </x:c>
      <x:c r="I16" t="n">
        <x:v>340</x:v>
      </x:c>
      <x:c r="J16" t="n">
        <x:v>380</x:v>
      </x:c>
      <x:c r="K16" t="n">
        <x:v>210</x:v>
      </x:c>
      <x:c r="L16" t="n">
        <x:v>3</x:v>
      </x:c>
      <x:c r="M16" t="n">
        <x:v>83</x:v>
      </x:c>
      <x:c r="N16" s="20" t="n">
        <x:v>88</x:v>
      </x:c>
      <x:c r="O16" t="str">
        <x:v>SDG 2 - Zero Hunger</x:v>
      </x:c>
    </x:row>
    <x:row r="17">
      <x:c r="A17" t="str">
        <x:v>Jun</x:v>
      </x:c>
      <x:c r="B17" t="str">
        <x:v>Kigali</x:v>
      </x:c>
      <x:c r="C17" t="str">
        <x:v>Nyarugenge</x:v>
      </x:c>
      <x:c r="D17" t="str">
        <x:v>Education Support</x:v>
      </x:c>
      <x:c r="E17" t="str">
        <x:v>Refugees &amp; Vulnerable Youth</x:v>
      </x:c>
      <x:c r="F17" t="n">
        <x:v>460</x:v>
      </x:c>
      <x:c r="G17" t="n">
        <x:v>245</x:v>
      </x:c>
      <x:c r="H17" t="n">
        <x:v>215</x:v>
      </x:c>
      <x:c r="I17" t="n">
        <x:v>315</x:v>
      </x:c>
      <x:c r="J17" t="n">
        <x:v>300</x:v>
      </x:c>
      <x:c r="K17" t="n">
        <x:v>160</x:v>
      </x:c>
      <x:c r="L17" t="n">
        <x:v>8</x:v>
      </x:c>
      <x:c r="M17" t="n">
        <x:v>68</x:v>
      </x:c>
      <x:c r="N17" s="20" t="n">
        <x:v>92</x:v>
      </x:c>
      <x:c r="O17" t="str">
        <x:v>SDG 4 - Quality Education</x:v>
      </x:c>
    </x:row>
    <x:row r="18">
      <x:c r="A18" t="str">
        <x:v>Jun</x:v>
      </x:c>
      <x:c r="B18" t="str">
        <x:v>Eastern Province</x:v>
      </x:c>
      <x:c r="C18" t="str">
        <x:v>Bugesera</x:v>
      </x:c>
      <x:c r="D18" t="str">
        <x:v>Protection &amp; Case Management</x:v>
      </x:c>
      <x:c r="E18" t="str">
        <x:v>Refugees &amp; At-risk Families</x:v>
      </x:c>
      <x:c r="F18" t="n">
        <x:v>340</x:v>
      </x:c>
      <x:c r="G18" t="n">
        <x:v>195</x:v>
      </x:c>
      <x:c r="H18" t="n">
        <x:v>145</x:v>
      </x:c>
      <x:c r="I18" t="n">
        <x:v>165</x:v>
      </x:c>
      <x:c r="J18" t="n">
        <x:v>230</x:v>
      </x:c>
      <x:c r="K18" t="n">
        <x:v>110</x:v>
      </x:c>
      <x:c r="L18" t="n">
        <x:v>6</x:v>
      </x:c>
      <x:c r="M18" t="n">
        <x:v>81</x:v>
      </x:c>
      <x:c r="N18" s="20" t="n">
        <x:v>90</x:v>
      </x:c>
      <x:c r="O18" t="str">
        <x:v>SDG 10 - Reduced Inequalities</x:v>
      </x:c>
    </x:row>
    <x:row r="19">
      <x:c r="A19" t="str">
        <x:v>Jun</x:v>
      </x:c>
      <x:c r="B19" t="str">
        <x:v>Western Province</x:v>
      </x:c>
      <x:c r="C19" t="str">
        <x:v>Rubavu</x:v>
      </x:c>
      <x:c r="D19" t="str">
        <x:v>Healthcare Outreach</x:v>
      </x:c>
      <x:c r="E19" t="str">
        <x:v>Women &amp; Children</x:v>
      </x:c>
      <x:c r="F19" t="n">
        <x:v>390</x:v>
      </x:c>
      <x:c r="G19" t="n">
        <x:v>230</x:v>
      </x:c>
      <x:c r="H19" t="n">
        <x:v>160</x:v>
      </x:c>
      <x:c r="I19" t="n">
        <x:v>240</x:v>
      </x:c>
      <x:c r="J19" t="n">
        <x:v>165</x:v>
      </x:c>
      <x:c r="K19" t="n">
        <x:v>225</x:v>
      </x:c>
      <x:c r="L19" t="n">
        <x:v>6</x:v>
      </x:c>
      <x:c r="M19" t="n">
        <x:v>57</x:v>
      </x:c>
      <x:c r="N19" s="20" t="n">
        <x:v>87</x:v>
      </x:c>
      <x:c r="O19" t="str">
        <x:v>SDG 3 - Good Health</x:v>
      </x:c>
    </x:row>
    <x:row r="20">
      <x:c r="A20" t="str">
        <x:v>Jul</x:v>
      </x:c>
      <x:c r="B20" t="str">
        <x:v>Kigali</x:v>
      </x:c>
      <x:c r="C20" t="str">
        <x:v>Gasabo</x:v>
      </x:c>
      <x:c r="D20" t="str">
        <x:v>Food Assistance</x:v>
      </x:c>
      <x:c r="E20" t="str">
        <x:v>Refugees &amp; Low-income Families</x:v>
      </x:c>
      <x:c r="F20" t="n">
        <x:v>720</x:v>
      </x:c>
      <x:c r="G20" t="n">
        <x:v>385</x:v>
      </x:c>
      <x:c r="H20" t="n">
        <x:v>335</x:v>
      </x:c>
      <x:c r="I20" t="n">
        <x:v>420</x:v>
      </x:c>
      <x:c r="J20" t="n">
        <x:v>490</x:v>
      </x:c>
      <x:c r="K20" t="n">
        <x:v>230</x:v>
      </x:c>
      <x:c r="L20" t="n">
        <x:v>4</x:v>
      </x:c>
      <x:c r="M20" t="n">
        <x:v>102</x:v>
      </x:c>
      <x:c r="N20" s="20" t="n">
        <x:v>89</x:v>
      </x:c>
      <x:c r="O20" t="str">
        <x:v>SDG 2 - Zero Hunger</x:v>
      </x:c>
    </x:row>
    <x:row r="21">
      <x:c r="A21" t="str">
        <x:v>Jul</x:v>
      </x:c>
      <x:c r="B21" t="str">
        <x:v>Eastern Province</x:v>
      </x:c>
      <x:c r="C21" t="str">
        <x:v>Kirehe</x:v>
      </x:c>
      <x:c r="D21" t="str">
        <x:v>Education Support</x:v>
      </x:c>
      <x:c r="E21" t="str">
        <x:v>Refugees &amp; Vulnerable Youth</x:v>
      </x:c>
      <x:c r="F21" t="n">
        <x:v>500</x:v>
      </x:c>
      <x:c r="G21" t="n">
        <x:v>265</x:v>
      </x:c>
      <x:c r="H21" t="n">
        <x:v>235</x:v>
      </x:c>
      <x:c r="I21" t="n">
        <x:v>350</x:v>
      </x:c>
      <x:c r="J21" t="n">
        <x:v>330</x:v>
      </x:c>
      <x:c r="K21" t="n">
        <x:v>170</x:v>
      </x:c>
      <x:c r="L21" t="n">
        <x:v>9</x:v>
      </x:c>
      <x:c r="M21" t="n">
        <x:v>74</x:v>
      </x:c>
      <x:c r="N21" s="20" t="n">
        <x:v>93</x:v>
      </x:c>
      <x:c r="O21" t="str">
        <x:v>SDG 4 - Quality Education</x:v>
      </x:c>
    </x:row>
    <x:row r="22">
      <x:c r="A22" t="str">
        <x:v>Jul</x:v>
      </x:c>
      <x:c r="B22" t="str">
        <x:v>Southern Province</x:v>
      </x:c>
      <x:c r="C22" t="str">
        <x:v>Huye</x:v>
      </x:c>
      <x:c r="D22" t="str">
        <x:v>Livelihood Training</x:v>
      </x:c>
      <x:c r="E22" t="str">
        <x:v>Youth &amp; Women</x:v>
      </x:c>
      <x:c r="F22" t="n">
        <x:v>310</x:v>
      </x:c>
      <x:c r="G22" t="n">
        <x:v>185</x:v>
      </x:c>
      <x:c r="H22" t="n">
        <x:v>125</x:v>
      </x:c>
      <x:c r="I22" t="n">
        <x:v>95</x:v>
      </x:c>
      <x:c r="J22" t="n">
        <x:v>110</x:v>
      </x:c>
      <x:c r="K22" t="n">
        <x:v>200</x:v>
      </x:c>
      <x:c r="L22" t="n">
        <x:v>7</x:v>
      </x:c>
      <x:c r="M22" t="n">
        <x:v>52</x:v>
      </x:c>
      <x:c r="N22" s="20" t="n">
        <x:v>91</x:v>
      </x:c>
      <x:c r="O22" t="str">
        <x:v>SDG 8 - Decent Work</x:v>
      </x:c>
    </x:row>
    <x:row r="23">
      <x:c r="A23" t="str">
        <x:v>Aug</x:v>
      </x:c>
      <x:c r="B23" t="str">
        <x:v>Kigali</x:v>
      </x:c>
      <x:c r="C23" t="str">
        <x:v>Nyarugenge</x:v>
      </x:c>
      <x:c r="D23" t="str">
        <x:v>Healthcare Outreach</x:v>
      </x:c>
      <x:c r="E23" t="str">
        <x:v>Women &amp; Children</x:v>
      </x:c>
      <x:c r="F23" t="n">
        <x:v>410</x:v>
      </x:c>
      <x:c r="G23" t="n">
        <x:v>245</x:v>
      </x:c>
      <x:c r="H23" t="n">
        <x:v>165</x:v>
      </x:c>
      <x:c r="I23" t="n">
        <x:v>255</x:v>
      </x:c>
      <x:c r="J23" t="n">
        <x:v>175</x:v>
      </x:c>
      <x:c r="K23" t="n">
        <x:v>235</x:v>
      </x:c>
      <x:c r="L23" t="n">
        <x:v>6</x:v>
      </x:c>
      <x:c r="M23" t="n">
        <x:v>61</x:v>
      </x:c>
      <x:c r="N23" s="20" t="n">
        <x:v>88</x:v>
      </x:c>
      <x:c r="O23" t="str">
        <x:v>SDG 3 - Good Health</x:v>
      </x:c>
    </x:row>
    <x:row r="24">
      <x:c r="A24" t="str">
        <x:v>Aug</x:v>
      </x:c>
      <x:c r="B24" t="str">
        <x:v>Eastern Province</x:v>
      </x:c>
      <x:c r="C24" t="str">
        <x:v>Bugesera</x:v>
      </x:c>
      <x:c r="D24" t="str">
        <x:v>Food Assistance</x:v>
      </x:c>
      <x:c r="E24" t="str">
        <x:v>Refugees &amp; Low-income Families</x:v>
      </x:c>
      <x:c r="F24" t="n">
        <x:v>750</x:v>
      </x:c>
      <x:c r="G24" t="n">
        <x:v>400</x:v>
      </x:c>
      <x:c r="H24" t="n">
        <x:v>350</x:v>
      </x:c>
      <x:c r="I24" t="n">
        <x:v>440</x:v>
      </x:c>
      <x:c r="J24" t="n">
        <x:v>520</x:v>
      </x:c>
      <x:c r="K24" t="n">
        <x:v>230</x:v>
      </x:c>
      <x:c r="L24" t="n">
        <x:v>4</x:v>
      </x:c>
      <x:c r="M24" t="n">
        <x:v>108</x:v>
      </x:c>
      <x:c r="N24" s="20" t="n">
        <x:v>90</x:v>
      </x:c>
      <x:c r="O24" t="str">
        <x:v>SDG 2 - Zero Hunger</x:v>
      </x:c>
    </x:row>
    <x:row r="25">
      <x:c r="A25" t="str">
        <x:v>Aug</x:v>
      </x:c>
      <x:c r="B25" t="str">
        <x:v>Western Province</x:v>
      </x:c>
      <x:c r="C25" t="str">
        <x:v>Rubavu</x:v>
      </x:c>
      <x:c r="D25" t="str">
        <x:v>Protection &amp; Case Management</x:v>
      </x:c>
      <x:c r="E25" t="str">
        <x:v>Refugees &amp; At-risk Families</x:v>
      </x:c>
      <x:c r="F25" t="n">
        <x:v>380</x:v>
      </x:c>
      <x:c r="G25" t="n">
        <x:v>220</x:v>
      </x:c>
      <x:c r="H25" t="n">
        <x:v>160</x:v>
      </x:c>
      <x:c r="I25" t="n">
        <x:v>185</x:v>
      </x:c>
      <x:c r="J25" t="n">
        <x:v>255</x:v>
      </x:c>
      <x:c r="K25" t="n">
        <x:v>125</x:v>
      </x:c>
      <x:c r="L25" t="n">
        <x:v>6</x:v>
      </x:c>
      <x:c r="M25" t="n">
        <x:v>90</x:v>
      </x:c>
      <x:c r="N25" s="20" t="n">
        <x:v>91</x:v>
      </x:c>
      <x:c r="O25" t="str">
        <x:v>SDG 10 - Reduced Inequalities</x:v>
      </x:c>
    </x:row>
    <x:row r="26">
      <x:c r="A26" t="str">
        <x:v>Sep</x:v>
      </x:c>
      <x:c r="B26" t="str">
        <x:v>Kigali</x:v>
      </x:c>
      <x:c r="C26" t="str">
        <x:v>Gasabo</x:v>
      </x:c>
      <x:c r="D26" t="str">
        <x:v>Education Support</x:v>
      </x:c>
      <x:c r="E26" t="str">
        <x:v>Refugees &amp; Vulnerable Youth</x:v>
      </x:c>
      <x:c r="F26" t="n">
        <x:v>540</x:v>
      </x:c>
      <x:c r="G26" t="n">
        <x:v>285</x:v>
      </x:c>
      <x:c r="H26" t="n">
        <x:v>255</x:v>
      </x:c>
      <x:c r="I26" t="n">
        <x:v>380</x:v>
      </x:c>
      <x:c r="J26" t="n">
        <x:v>360</x:v>
      </x:c>
      <x:c r="K26" t="n">
        <x:v>180</x:v>
      </x:c>
      <x:c r="L26" t="n">
        <x:v>10</x:v>
      </x:c>
      <x:c r="M26" t="n">
        <x:v>78</x:v>
      </x:c>
      <x:c r="N26" s="20" t="n">
        <x:v>94</x:v>
      </x:c>
      <x:c r="O26" t="str">
        <x:v>SDG 4 - Quality Education</x:v>
      </x:c>
    </x:row>
    <x:row r="27">
      <x:c r="A27" t="str">
        <x:v>Sep</x:v>
      </x:c>
      <x:c r="B27" t="str">
        <x:v>Eastern Province</x:v>
      </x:c>
      <x:c r="C27" t="str">
        <x:v>Kirehe</x:v>
      </x:c>
      <x:c r="D27" t="str">
        <x:v>Healthcare Outreach</x:v>
      </x:c>
      <x:c r="E27" t="str">
        <x:v>Women &amp; Children</x:v>
      </x:c>
      <x:c r="F27" t="n">
        <x:v>440</x:v>
      </x:c>
      <x:c r="G27" t="n">
        <x:v>265</x:v>
      </x:c>
      <x:c r="H27" t="n">
        <x:v>175</x:v>
      </x:c>
      <x:c r="I27" t="n">
        <x:v>275</x:v>
      </x:c>
      <x:c r="J27" t="n">
        <x:v>190</x:v>
      </x:c>
      <x:c r="K27" t="n">
        <x:v>250</x:v>
      </x:c>
      <x:c r="L27" t="n">
        <x:v>6</x:v>
      </x:c>
      <x:c r="M27" t="n">
        <x:v>66</x:v>
      </x:c>
      <x:c r="N27" s="20" t="n">
        <x:v>89</x:v>
      </x:c>
      <x:c r="O27" t="str">
        <x:v>SDG 3 - Good Health</x:v>
      </x:c>
    </x:row>
    <x:row r="28">
      <x:c r="A28" t="str">
        <x:v>Sep</x:v>
      </x:c>
      <x:c r="B28" t="str">
        <x:v>Southern Province</x:v>
      </x:c>
      <x:c r="C28" t="str">
        <x:v>Huye</x:v>
      </x:c>
      <x:c r="D28" t="str">
        <x:v>Food Assistance</x:v>
      </x:c>
      <x:c r="E28" t="str">
        <x:v>Refugees &amp; Low-income Families</x:v>
      </x:c>
      <x:c r="F28" t="n">
        <x:v>700</x:v>
      </x:c>
      <x:c r="G28" t="n">
        <x:v>375</x:v>
      </x:c>
      <x:c r="H28" t="n">
        <x:v>325</x:v>
      </x:c>
      <x:c r="I28" t="n">
        <x:v>410</x:v>
      </x:c>
      <x:c r="J28" t="n">
        <x:v>460</x:v>
      </x:c>
      <x:c r="K28" t="n">
        <x:v>240</x:v>
      </x:c>
      <x:c r="L28" t="n">
        <x:v>4</x:v>
      </x:c>
      <x:c r="M28" t="n">
        <x:v>98</x:v>
      </x:c>
      <x:c r="N28" s="20" t="n">
        <x:v>90</x:v>
      </x:c>
      <x:c r="O28" t="str">
        <x:v>SDG 2 - Zero Hunger</x:v>
      </x:c>
    </x:row>
    <x:row r="29">
      <x:c r="A29" t="str">
        <x:v>Oct</x:v>
      </x:c>
      <x:c r="B29" t="str">
        <x:v>Kigali</x:v>
      </x:c>
      <x:c r="C29" t="str">
        <x:v>Nyarugenge</x:v>
      </x:c>
      <x:c r="D29" t="str">
        <x:v>Livelihood Training</x:v>
      </x:c>
      <x:c r="E29" t="str">
        <x:v>Youth &amp; Women</x:v>
      </x:c>
      <x:c r="F29" t="n">
        <x:v>350</x:v>
      </x:c>
      <x:c r="G29" t="n">
        <x:v>210</x:v>
      </x:c>
      <x:c r="H29" t="n">
        <x:v>140</x:v>
      </x:c>
      <x:c r="I29" t="n">
        <x:v>110</x:v>
      </x:c>
      <x:c r="J29" t="n">
        <x:v>125</x:v>
      </x:c>
      <x:c r="K29" t="n">
        <x:v>225</x:v>
      </x:c>
      <x:c r="L29" t="n">
        <x:v>8</x:v>
      </x:c>
      <x:c r="M29" t="n">
        <x:v>59</x:v>
      </x:c>
      <x:c r="N29" s="20" t="n">
        <x:v>93</x:v>
      </x:c>
      <x:c r="O29" t="str">
        <x:v>SDG 8 - Decent Work</x:v>
      </x:c>
    </x:row>
    <x:row r="30">
      <x:c r="A30" t="str">
        <x:v>Oct</x:v>
      </x:c>
      <x:c r="B30" t="str">
        <x:v>Eastern Province</x:v>
      </x:c>
      <x:c r="C30" t="str">
        <x:v>Bugesera</x:v>
      </x:c>
      <x:c r="D30" t="str">
        <x:v>Education Support</x:v>
      </x:c>
      <x:c r="E30" t="str">
        <x:v>Refugees &amp; Vulnerable Youth</x:v>
      </x:c>
      <x:c r="F30" t="n">
        <x:v>580</x:v>
      </x:c>
      <x:c r="G30" t="n">
        <x:v>305</x:v>
      </x:c>
      <x:c r="H30" t="n">
        <x:v>275</x:v>
      </x:c>
      <x:c r="I30" t="n">
        <x:v>410</x:v>
      </x:c>
      <x:c r="J30" t="n">
        <x:v>390</x:v>
      </x:c>
      <x:c r="K30" t="n">
        <x:v>190</x:v>
      </x:c>
      <x:c r="L30" t="n">
        <x:v>10</x:v>
      </x:c>
      <x:c r="M30" t="n">
        <x:v>84</x:v>
      </x:c>
      <x:c r="N30" s="20" t="n">
        <x:v>94</x:v>
      </x:c>
      <x:c r="O30" t="str">
        <x:v>SDG 4 - Quality Education</x:v>
      </x:c>
    </x:row>
    <x:row r="31">
      <x:c r="A31" t="str">
        <x:v>Oct</x:v>
      </x:c>
      <x:c r="B31" t="str">
        <x:v>Western Province</x:v>
      </x:c>
      <x:c r="C31" t="str">
        <x:v>Rubavu</x:v>
      </x:c>
      <x:c r="D31" t="str">
        <x:v>Food Assistance</x:v>
      </x:c>
      <x:c r="E31" t="str">
        <x:v>Refugees &amp; Low-income Families</x:v>
      </x:c>
      <x:c r="F31" t="n">
        <x:v>760</x:v>
      </x:c>
      <x:c r="G31" t="n">
        <x:v>410</x:v>
      </x:c>
      <x:c r="H31" t="n">
        <x:v>350</x:v>
      </x:c>
      <x:c r="I31" t="n">
        <x:v>455</x:v>
      </x:c>
      <x:c r="J31" t="n">
        <x:v>525</x:v>
      </x:c>
      <x:c r="K31" t="n">
        <x:v>235</x:v>
      </x:c>
      <x:c r="L31" t="n">
        <x:v>4</x:v>
      </x:c>
      <x:c r="M31" t="n">
        <x:v>112</x:v>
      </x:c>
      <x:c r="N31" s="20" t="n">
        <x:v>91</x:v>
      </x:c>
      <x:c r="O31" t="str">
        <x:v>SDG 2 - Zero Hunger</x:v>
      </x:c>
    </x:row>
    <x:row r="32">
      <x:c r="A32" t="str">
        <x:v>Nov</x:v>
      </x:c>
      <x:c r="B32" t="str">
        <x:v>Kigali</x:v>
      </x:c>
      <x:c r="C32" t="str">
        <x:v>Gasabo</x:v>
      </x:c>
      <x:c r="D32" t="str">
        <x:v>Protection &amp; Case Management</x:v>
      </x:c>
      <x:c r="E32" t="str">
        <x:v>Refugees &amp; At-risk Families</x:v>
      </x:c>
      <x:c r="F32" t="n">
        <x:v>420</x:v>
      </x:c>
      <x:c r="G32" t="n">
        <x:v>245</x:v>
      </x:c>
      <x:c r="H32" t="n">
        <x:v>175</x:v>
      </x:c>
      <x:c r="I32" t="n">
        <x:v>205</x:v>
      </x:c>
      <x:c r="J32" t="n">
        <x:v>285</x:v>
      </x:c>
      <x:c r="K32" t="n">
        <x:v>135</x:v>
      </x:c>
      <x:c r="L32" t="n">
        <x:v>7</x:v>
      </x:c>
      <x:c r="M32" t="n">
        <x:v>98</x:v>
      </x:c>
      <x:c r="N32" s="20" t="n">
        <x:v>92</x:v>
      </x:c>
      <x:c r="O32" t="str">
        <x:v>SDG 10 - Reduced Inequalities</x:v>
      </x:c>
    </x:row>
    <x:row r="33">
      <x:c r="A33" t="str">
        <x:v>Nov</x:v>
      </x:c>
      <x:c r="B33" t="str">
        <x:v>Eastern Province</x:v>
      </x:c>
      <x:c r="C33" t="str">
        <x:v>Kirehe</x:v>
      </x:c>
      <x:c r="D33" t="str">
        <x:v>Livelihood Training</x:v>
      </x:c>
      <x:c r="E33" t="str">
        <x:v>Youth &amp; Women</x:v>
      </x:c>
      <x:c r="F33" t="n">
        <x:v>370</x:v>
      </x:c>
      <x:c r="G33" t="n">
        <x:v>225</x:v>
      </x:c>
      <x:c r="H33" t="n">
        <x:v>145</x:v>
      </x:c>
      <x:c r="I33" t="n">
        <x:v>120</x:v>
      </x:c>
      <x:c r="J33" t="n">
        <x:v>140</x:v>
      </x:c>
      <x:c r="K33" t="n">
        <x:v>230</x:v>
      </x:c>
      <x:c r="L33" t="n">
        <x:v>9</x:v>
      </x:c>
      <x:c r="M33" t="n">
        <x:v>64</x:v>
      </x:c>
      <x:c r="N33" s="20" t="n">
        <x:v>94</x:v>
      </x:c>
      <x:c r="O33" t="str">
        <x:v>SDG 8 - Decent Work</x:v>
      </x:c>
    </x:row>
    <x:row r="34">
      <x:c r="A34" t="str">
        <x:v>Nov</x:v>
      </x:c>
      <x:c r="B34" t="str">
        <x:v>Southern Province</x:v>
      </x:c>
      <x:c r="C34" t="str">
        <x:v>Huye</x:v>
      </x:c>
      <x:c r="D34" t="str">
        <x:v>Healthcare Outreach</x:v>
      </x:c>
      <x:c r="E34" t="str">
        <x:v>Women &amp; Children</x:v>
      </x:c>
      <x:c r="F34" t="n">
        <x:v>470</x:v>
      </x:c>
      <x:c r="G34" t="n">
        <x:v>285</x:v>
      </x:c>
      <x:c r="H34" t="n">
        <x:v>185</x:v>
      </x:c>
      <x:c r="I34" t="n">
        <x:v>295</x:v>
      </x:c>
      <x:c r="J34" t="n">
        <x:v>210</x:v>
      </x:c>
      <x:c r="K34" t="n">
        <x:v>260</x:v>
      </x:c>
      <x:c r="L34" t="n">
        <x:v>7</x:v>
      </x:c>
      <x:c r="M34" t="n">
        <x:v>72</x:v>
      </x:c>
      <x:c r="N34" s="20" t="n">
        <x:v>90</x:v>
      </x:c>
      <x:c r="O34" t="str">
        <x:v>SDG 3 - Good Health</x:v>
      </x:c>
    </x:row>
    <x:row r="35">
      <x:c r="A35" t="str">
        <x:v>Dec</x:v>
      </x:c>
      <x:c r="B35" t="str">
        <x:v>Kigali</x:v>
      </x:c>
      <x:c r="C35" t="str">
        <x:v>Nyarugenge</x:v>
      </x:c>
      <x:c r="D35" t="str">
        <x:v>Food Assistance</x:v>
      </x:c>
      <x:c r="E35" t="str">
        <x:v>Refugees &amp; Low-income Families</x:v>
      </x:c>
      <x:c r="F35" t="n">
        <x:v>820</x:v>
      </x:c>
      <x:c r="G35" t="n">
        <x:v>440</x:v>
      </x:c>
      <x:c r="H35" t="n">
        <x:v>380</x:v>
      </x:c>
      <x:c r="I35" t="n">
        <x:v>490</x:v>
      </x:c>
      <x:c r="J35" t="n">
        <x:v>570</x:v>
      </x:c>
      <x:c r="K35" t="n">
        <x:v>250</x:v>
      </x:c>
      <x:c r="L35" t="n">
        <x:v>5</x:v>
      </x:c>
      <x:c r="M35" t="n">
        <x:v>120</x:v>
      </x:c>
      <x:c r="N35" s="20" t="n">
        <x:v>92</x:v>
      </x:c>
      <x:c r="O35" t="str">
        <x:v>SDG 2 - Zero Hunger</x:v>
      </x:c>
    </x:row>
    <x:row r="36">
      <x:c r="A36" t="str">
        <x:v>Dec</x:v>
      </x:c>
      <x:c r="B36" t="str">
        <x:v>Eastern Province</x:v>
      </x:c>
      <x:c r="C36" t="str">
        <x:v>Bugesera</x:v>
      </x:c>
      <x:c r="D36" t="str">
        <x:v>Education Support</x:v>
      </x:c>
      <x:c r="E36" t="str">
        <x:v>Refugees &amp; Vulnerable Youth</x:v>
      </x:c>
      <x:c r="F36" t="n">
        <x:v>620</x:v>
      </x:c>
      <x:c r="G36" t="n">
        <x:v>330</x:v>
      </x:c>
      <x:c r="H36" t="n">
        <x:v>290</x:v>
      </x:c>
      <x:c r="I36" t="n">
        <x:v>445</x:v>
      </x:c>
      <x:c r="J36" t="n">
        <x:v>420</x:v>
      </x:c>
      <x:c r="K36" t="n">
        <x:v>200</x:v>
      </x:c>
      <x:c r="L36" t="n">
        <x:v>11</x:v>
      </x:c>
      <x:c r="M36" t="n">
        <x:v>91</x:v>
      </x:c>
      <x:c r="N36" s="20" t="n">
        <x:v>95</x:v>
      </x:c>
      <x:c r="O36" t="str">
        <x:v>SDG 4 - Quality Education</x:v>
      </x:c>
    </x:row>
    <x:row r="37">
      <x:c r="A37" t="str">
        <x:v>Dec</x:v>
      </x:c>
      <x:c r="B37" t="str">
        <x:v>Western Province</x:v>
      </x:c>
      <x:c r="C37" t="str">
        <x:v>Rubavu</x:v>
      </x:c>
      <x:c r="D37" t="str">
        <x:v>Protection &amp; Case Management</x:v>
      </x:c>
      <x:c r="E37" t="str">
        <x:v>Refugees &amp; At-risk Families</x:v>
      </x:c>
      <x:c r="F37" t="n">
        <x:v>450</x:v>
      </x:c>
      <x:c r="G37" t="n">
        <x:v>265</x:v>
      </x:c>
      <x:c r="H37" t="n">
        <x:v>185</x:v>
      </x:c>
      <x:c r="I37" t="n">
        <x:v>220</x:v>
      </x:c>
      <x:c r="J37" t="n">
        <x:v>310</x:v>
      </x:c>
      <x:c r="K37" t="n">
        <x:v>140</x:v>
      </x:c>
      <x:c r="L37" t="n">
        <x:v>8</x:v>
      </x:c>
      <x:c r="M37" t="n">
        <x:v>105</x:v>
      </x:c>
      <x:c r="N37" s="20" t="n">
        <x:v>93</x:v>
      </x:c>
      <x:c r="O37" t="str">
        <x:v>SDG 10 - Reduced Inequalities</x:v>
      </x:c>
    </x:row>
  </x:sheetData>
  <x:conditionalFormatting sqref="N2:N37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879703db2d349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4" customHeight="1">
      <x:c r="A1" s="6" t="str">
        <x:v>Quarter</x:v>
      </x:c>
      <x:c r="B1" s="6" t="str">
        <x:v>Donor Name</x:v>
      </x:c>
      <x:c r="C1" s="6" t="str">
        <x:v>Funding Source Type</x:v>
      </x:c>
      <x:c r="D1" s="6" t="str">
        <x:v>Program Funded</x:v>
      </x:c>
      <x:c r="E1" s="6" t="str">
        <x:v>Grant Amount USD</x:v>
      </x:c>
      <x:c r="F1" s="6" t="str">
        <x:v>Funding Received USD</x:v>
      </x:c>
      <x:c r="G1" s="6" t="str">
        <x:v>Funding Used USD</x:v>
      </x:c>
      <x:c r="H1" s="6" t="str">
        <x:v>Remaining Budget USD</x:v>
      </x:c>
      <x:c r="I1" s="6" t="str">
        <x:v>Funding Utilization %</x:v>
      </x:c>
      <x:c r="J1" s="6" t="str">
        <x:v>Cost Per Beneficiary USD</x:v>
      </x:c>
      <x:c r="K1" s="6" t="str">
        <x:v>Reporting Status</x:v>
      </x:c>
    </x:row>
    <x:row r="2">
      <x:c r="A2" t="str">
        <x:v>Q1</x:v>
      </x:c>
      <x:c r="B2" t="str">
        <x:v>UNHCR Rwanda</x:v>
      </x:c>
      <x:c r="C2" t="str">
        <x:v>Institutional Donor</x:v>
      </x:c>
      <x:c r="D2" t="str">
        <x:v>Protection &amp; Case Management</x:v>
      </x:c>
      <x:c r="E2" s="14" t="n">
        <x:v>85000</x:v>
      </x:c>
      <x:c r="F2" s="14" t="n">
        <x:v>70000</x:v>
      </x:c>
      <x:c r="G2" s="14" t="n">
        <x:v>56500</x:v>
      </x:c>
      <x:c r="H2" s="14" t="n">
        <x:v>13500</x:v>
      </x:c>
      <x:c r="I2" s="16" t="n">
        <x:v>80.7</x:v>
      </x:c>
      <x:c r="J2" s="18" t="n">
        <x:v>43.5</x:v>
      </x:c>
      <x:c r="K2" t="str">
        <x:v>Submitted</x:v>
      </x:c>
    </x:row>
    <x:row r="3">
      <x:c r="A3" t="str">
        <x:v>Q1</x:v>
      </x:c>
      <x:c r="B3" t="str">
        <x:v>World Food Programme Partner Fund</x:v>
      </x:c>
      <x:c r="C3" t="str">
        <x:v>Institutional Donor</x:v>
      </x:c>
      <x:c r="D3" t="str">
        <x:v>Food Assistance</x:v>
      </x:c>
      <x:c r="E3" s="14" t="n">
        <x:v>120000</x:v>
      </x:c>
      <x:c r="F3" s="14" t="n">
        <x:v>100000</x:v>
      </x:c>
      <x:c r="G3" s="14" t="n">
        <x:v>82500</x:v>
      </x:c>
      <x:c r="H3" s="14" t="n">
        <x:v>17500</x:v>
      </x:c>
      <x:c r="I3" s="16" t="n">
        <x:v>82.5</x:v>
      </x:c>
      <x:c r="J3" s="18" t="n">
        <x:v>52.2</x:v>
      </x:c>
      <x:c r="K3" t="str">
        <x:v>Submitted</x:v>
      </x:c>
    </x:row>
    <x:row r="4">
      <x:c r="A4" t="str">
        <x:v>Q1</x:v>
      </x:c>
      <x:c r="B4" t="str">
        <x:v>Local Private Donors</x:v>
      </x:c>
      <x:c r="C4" t="str">
        <x:v>Private Donations</x:v>
      </x:c>
      <x:c r="D4" t="str">
        <x:v>Education Support</x:v>
      </x:c>
      <x:c r="E4" s="14" t="n">
        <x:v>28000</x:v>
      </x:c>
      <x:c r="F4" s="14" t="n">
        <x:v>24000</x:v>
      </x:c>
      <x:c r="G4" s="14" t="n">
        <x:v>18800</x:v>
      </x:c>
      <x:c r="H4" s="14" t="n">
        <x:v>5200</x:v>
      </x:c>
      <x:c r="I4" s="16" t="n">
        <x:v>78.3</x:v>
      </x:c>
      <x:c r="J4" s="18" t="n">
        <x:v>29.4</x:v>
      </x:c>
      <x:c r="K4" t="str">
        <x:v>Submitted</x:v>
      </x:c>
    </x:row>
    <x:row r="5">
      <x:c r="A5" t="str">
        <x:v>Q2</x:v>
      </x:c>
      <x:c r="B5" t="str">
        <x:v>European Humanitarian Fund</x:v>
      </x:c>
      <x:c r="C5" t="str">
        <x:v>Grant</x:v>
      </x:c>
      <x:c r="D5" t="str">
        <x:v>Healthcare Outreach</x:v>
      </x:c>
      <x:c r="E5" s="14" t="n">
        <x:v>95000</x:v>
      </x:c>
      <x:c r="F5" s="14" t="n">
        <x:v>80000</x:v>
      </x:c>
      <x:c r="G5" s="14" t="n">
        <x:v>64200</x:v>
      </x:c>
      <x:c r="H5" s="14" t="n">
        <x:v>15800</x:v>
      </x:c>
      <x:c r="I5" s="16" t="n">
        <x:v>80.3</x:v>
      </x:c>
      <x:c r="J5" s="18" t="n">
        <x:v>50.1</x:v>
      </x:c>
      <x:c r="K5" t="str">
        <x:v>Submitted</x:v>
      </x:c>
    </x:row>
    <x:row r="6">
      <x:c r="A6" t="str">
        <x:v>Q2</x:v>
      </x:c>
      <x:c r="B6" t="str">
        <x:v>Rwanda Community Support Fund</x:v>
      </x:c>
      <x:c r="C6" t="str">
        <x:v>Local Grant</x:v>
      </x:c>
      <x:c r="D6" t="str">
        <x:v>Livelihood Training</x:v>
      </x:c>
      <x:c r="E6" s="14" t="n">
        <x:v>45000</x:v>
      </x:c>
      <x:c r="F6" s="14" t="n">
        <x:v>39000</x:v>
      </x:c>
      <x:c r="G6" s="14" t="n">
        <x:v>31000</x:v>
      </x:c>
      <x:c r="H6" s="14" t="n">
        <x:v>8000</x:v>
      </x:c>
      <x:c r="I6" s="16" t="n">
        <x:v>79.5</x:v>
      </x:c>
      <x:c r="J6" s="18" t="n">
        <x:v>47.6</x:v>
      </x:c>
      <x:c r="K6" t="str">
        <x:v>In Review</x:v>
      </x:c>
    </x:row>
    <x:row r="7">
      <x:c r="A7" t="str">
        <x:v>Q2</x:v>
      </x:c>
      <x:c r="B7" t="str">
        <x:v>UNHCR Rwanda</x:v>
      </x:c>
      <x:c r="C7" t="str">
        <x:v>Institutional Donor</x:v>
      </x:c>
      <x:c r="D7" t="str">
        <x:v>Protection &amp; Case Management</x:v>
      </x:c>
      <x:c r="E7" s="14" t="n">
        <x:v>90000</x:v>
      </x:c>
      <x:c r="F7" s="14" t="n">
        <x:v>76000</x:v>
      </x:c>
      <x:c r="G7" s="14" t="n">
        <x:v>61000</x:v>
      </x:c>
      <x:c r="H7" s="14" t="n">
        <x:v>15000</x:v>
      </x:c>
      <x:c r="I7" s="16" t="n">
        <x:v>80.3</x:v>
      </x:c>
      <x:c r="J7" s="18" t="n">
        <x:v>45.2</x:v>
      </x:c>
      <x:c r="K7" t="str">
        <x:v>Submitted</x:v>
      </x:c>
    </x:row>
    <x:row r="8">
      <x:c r="A8" t="str">
        <x:v>Q3</x:v>
      </x:c>
      <x:c r="B8" t="str">
        <x:v>World Food Programme Partner Fund</x:v>
      </x:c>
      <x:c r="C8" t="str">
        <x:v>Institutional Donor</x:v>
      </x:c>
      <x:c r="D8" t="str">
        <x:v>Food Assistance</x:v>
      </x:c>
      <x:c r="E8" s="14" t="n">
        <x:v>135000</x:v>
      </x:c>
      <x:c r="F8" s="14" t="n">
        <x:v>118000</x:v>
      </x:c>
      <x:c r="G8" s="14" t="n">
        <x:v>98200</x:v>
      </x:c>
      <x:c r="H8" s="14" t="n">
        <x:v>19800</x:v>
      </x:c>
      <x:c r="I8" s="16" t="n">
        <x:v>83.2</x:v>
      </x:c>
      <x:c r="J8" s="18" t="n">
        <x:v>51.8</x:v>
      </x:c>
      <x:c r="K8" t="str">
        <x:v>Submitted</x:v>
      </x:c>
    </x:row>
    <x:row r="9">
      <x:c r="A9" t="str">
        <x:v>Q3</x:v>
      </x:c>
      <x:c r="B9" t="str">
        <x:v>Education Access Foundation</x:v>
      </x:c>
      <x:c r="C9" t="str">
        <x:v>Foundation</x:v>
      </x:c>
      <x:c r="D9" t="str">
        <x:v>Education Support</x:v>
      </x:c>
      <x:c r="E9" s="14" t="n">
        <x:v>60000</x:v>
      </x:c>
      <x:c r="F9" s="14" t="n">
        <x:v>52000</x:v>
      </x:c>
      <x:c r="G9" s="14" t="n">
        <x:v>42100</x:v>
      </x:c>
      <x:c r="H9" s="14" t="n">
        <x:v>9900</x:v>
      </x:c>
      <x:c r="I9" s="16" t="n">
        <x:v>81</x:v>
      </x:c>
      <x:c r="J9" s="18" t="n">
        <x:v>31.8</x:v>
      </x:c>
      <x:c r="K9" t="str">
        <x:v>Submitted</x:v>
      </x:c>
    </x:row>
    <x:row r="10">
      <x:c r="A10" t="str">
        <x:v>Q3</x:v>
      </x:c>
      <x:c r="B10" t="str">
        <x:v>Local Private Donors</x:v>
      </x:c>
      <x:c r="C10" t="str">
        <x:v>Private Donations</x:v>
      </x:c>
      <x:c r="D10" t="str">
        <x:v>Healthcare Outreach</x:v>
      </x:c>
      <x:c r="E10" s="14" t="n">
        <x:v>32000</x:v>
      </x:c>
      <x:c r="F10" s="14" t="n">
        <x:v>27500</x:v>
      </x:c>
      <x:c r="G10" s="14" t="n">
        <x:v>21800</x:v>
      </x:c>
      <x:c r="H10" s="14" t="n">
        <x:v>5700</x:v>
      </x:c>
      <x:c r="I10" s="16" t="n">
        <x:v>79.3</x:v>
      </x:c>
      <x:c r="J10" s="18" t="n">
        <x:v>26.9</x:v>
      </x:c>
      <x:c r="K10" t="str">
        <x:v>Submitted</x:v>
      </x:c>
    </x:row>
    <x:row r="11">
      <x:c r="A11" t="str">
        <x:v>Q4</x:v>
      </x:c>
      <x:c r="B11" t="str">
        <x:v>European Humanitarian Fund</x:v>
      </x:c>
      <x:c r="C11" t="str">
        <x:v>Grant</x:v>
      </x:c>
      <x:c r="D11" t="str">
        <x:v>Livelihood Training</x:v>
      </x:c>
      <x:c r="E11" s="14" t="n">
        <x:v>78000</x:v>
      </x:c>
      <x:c r="F11" s="14" t="n">
        <x:v>70000</x:v>
      </x:c>
      <x:c r="G11" s="14" t="n">
        <x:v>58200</x:v>
      </x:c>
      <x:c r="H11" s="14" t="n">
        <x:v>11800</x:v>
      </x:c>
      <x:c r="I11" s="16" t="n">
        <x:v>83.1</x:v>
      </x:c>
      <x:c r="J11" s="18" t="n">
        <x:v>55.4</x:v>
      </x:c>
      <x:c r="K11" t="str">
        <x:v>In Review</x:v>
      </x:c>
    </x:row>
    <x:row r="12">
      <x:c r="A12" t="str">
        <x:v>Q4</x:v>
      </x:c>
      <x:c r="B12" t="str">
        <x:v>UNHCR Rwanda</x:v>
      </x:c>
      <x:c r="C12" t="str">
        <x:v>Institutional Donor</x:v>
      </x:c>
      <x:c r="D12" t="str">
        <x:v>Protection &amp; Case Management</x:v>
      </x:c>
      <x:c r="E12" s="14" t="n">
        <x:v>100000</x:v>
      </x:c>
      <x:c r="F12" s="14" t="n">
        <x:v>85000</x:v>
      </x:c>
      <x:c r="G12" s="14" t="n">
        <x:v>70100</x:v>
      </x:c>
      <x:c r="H12" s="14" t="n">
        <x:v>14900</x:v>
      </x:c>
      <x:c r="I12" s="16" t="n">
        <x:v>82.5</x:v>
      </x:c>
      <x:c r="J12" s="18" t="n">
        <x:v>44.6</x:v>
      </x:c>
      <x:c r="K12" t="str">
        <x:v>Submitted</x:v>
      </x:c>
    </x:row>
    <x:row r="13">
      <x:c r="A13" t="str">
        <x:v>Q4</x:v>
      </x:c>
      <x:c r="B13" t="str">
        <x:v>World Food Programme Partner Fund</x:v>
      </x:c>
      <x:c r="C13" t="str">
        <x:v>Institutional Donor</x:v>
      </x:c>
      <x:c r="D13" t="str">
        <x:v>Food Assistance</x:v>
      </x:c>
      <x:c r="E13" s="14" t="n">
        <x:v>150000</x:v>
      </x:c>
      <x:c r="F13" s="14" t="n">
        <x:v>130000</x:v>
      </x:c>
      <x:c r="G13" s="14" t="n">
        <x:v>110500</x:v>
      </x:c>
      <x:c r="H13" s="14" t="n">
        <x:v>19500</x:v>
      </x:c>
      <x:c r="I13" s="16" t="n">
        <x:v>85</x:v>
      </x:c>
      <x:c r="J13" s="18" t="n">
        <x:v>50.4</x:v>
      </x:c>
      <x:c r="K13" t="str">
        <x:v>Pending</x:v>
      </x:c>
    </x:row>
  </x:sheetData>
  <x:conditionalFormatting sqref="I2:I1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drawing xmlns:r="http://schemas.openxmlformats.org/officeDocument/2006/relationships" r:id="Rf00895bb13be409e"/>
  <x:tableParts count="1">
    <x:tablePart xmlns:r="http://schemas.openxmlformats.org/officeDocument/2006/relationships" r:id="Rb66131d6ecb046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4" customHeight="1">
      <x:c r="A1" s="6" t="str">
        <x:v>Month</x:v>
      </x:c>
      <x:c r="B1" s="6" t="str">
        <x:v>Staff Count</x:v>
      </x:c>
      <x:c r="C1" s="6" t="str">
        <x:v>Volunteers</x:v>
      </x:c>
      <x:c r="D1" s="6" t="str">
        <x:v>Field Visits</x:v>
      </x:c>
      <x:c r="E1" s="6" t="str">
        <x:v>Community Meetings</x:v>
      </x:c>
      <x:c r="F1" s="6" t="str">
        <x:v>Donor Reports Submitted</x:v>
      </x:c>
      <x:c r="G1" s="6" t="str">
        <x:v>Avg Case Response Time Days</x:v>
      </x:c>
      <x:c r="H1" s="6" t="str">
        <x:v>Data Quality Score %</x:v>
      </x:c>
      <x:c r="I1" s="6" t="str">
        <x:v>Monitoring Visits Completed</x:v>
      </x:c>
      <x:c r="J1" s="6" t="str">
        <x:v>Operational Risk Level</x:v>
      </x:c>
    </x:row>
    <x:row r="2">
      <x:c r="A2" t="str">
        <x:v>Jan</x:v>
      </x:c>
      <x:c r="B2" t="n">
        <x:v>24</x:v>
      </x:c>
      <x:c r="C2" t="n">
        <x:v>38</x:v>
      </x:c>
      <x:c r="D2" t="n">
        <x:v>18</x:v>
      </x:c>
      <x:c r="E2" t="n">
        <x:v>9</x:v>
      </x:c>
      <x:c r="F2" t="n">
        <x:v>3</x:v>
      </x:c>
      <x:c r="G2" t="n">
        <x:v>5.4</x:v>
      </x:c>
      <x:c r="H2" s="20" t="n">
        <x:v>86</x:v>
      </x:c>
      <x:c r="I2" t="n">
        <x:v>12</x:v>
      </x:c>
      <x:c r="J2" t="str">
        <x:v>Medium</x:v>
      </x:c>
    </x:row>
    <x:row r="3">
      <x:c r="A3" t="str">
        <x:v>Feb</x:v>
      </x:c>
      <x:c r="B3" t="n">
        <x:v>25</x:v>
      </x:c>
      <x:c r="C3" t="n">
        <x:v>40</x:v>
      </x:c>
      <x:c r="D3" t="n">
        <x:v>20</x:v>
      </x:c>
      <x:c r="E3" t="n">
        <x:v>10</x:v>
      </x:c>
      <x:c r="F3" t="n">
        <x:v>3</x:v>
      </x:c>
      <x:c r="G3" t="n">
        <x:v>5.1</x:v>
      </x:c>
      <x:c r="H3" s="20" t="n">
        <x:v>87</x:v>
      </x:c>
      <x:c r="I3" t="n">
        <x:v>13</x:v>
      </x:c>
      <x:c r="J3" t="str">
        <x:v>Medium</x:v>
      </x:c>
    </x:row>
    <x:row r="4">
      <x:c r="A4" t="str">
        <x:v>Mar</x:v>
      </x:c>
      <x:c r="B4" t="n">
        <x:v>26</x:v>
      </x:c>
      <x:c r="C4" t="n">
        <x:v>42</x:v>
      </x:c>
      <x:c r="D4" t="n">
        <x:v>23</x:v>
      </x:c>
      <x:c r="E4" t="n">
        <x:v>11</x:v>
      </x:c>
      <x:c r="F4" t="n">
        <x:v>4</x:v>
      </x:c>
      <x:c r="G4" t="n">
        <x:v>4.9</x:v>
      </x:c>
      <x:c r="H4" s="20" t="n">
        <x:v>88</x:v>
      </x:c>
      <x:c r="I4" t="n">
        <x:v>14</x:v>
      </x:c>
      <x:c r="J4" t="str">
        <x:v>Medium</x:v>
      </x:c>
    </x:row>
    <x:row r="5">
      <x:c r="A5" t="str">
        <x:v>Apr</x:v>
      </x:c>
      <x:c r="B5" t="n">
        <x:v>27</x:v>
      </x:c>
      <x:c r="C5" t="n">
        <x:v>45</x:v>
      </x:c>
      <x:c r="D5" t="n">
        <x:v>25</x:v>
      </x:c>
      <x:c r="E5" t="n">
        <x:v>12</x:v>
      </x:c>
      <x:c r="F5" t="n">
        <x:v>4</x:v>
      </x:c>
      <x:c r="G5" t="n">
        <x:v>4.6</x:v>
      </x:c>
      <x:c r="H5" s="20" t="n">
        <x:v>89</x:v>
      </x:c>
      <x:c r="I5" t="n">
        <x:v>16</x:v>
      </x:c>
      <x:c r="J5" t="str">
        <x:v>Low</x:v>
      </x:c>
    </x:row>
    <x:row r="6">
      <x:c r="A6" t="str">
        <x:v>May</x:v>
      </x:c>
      <x:c r="B6" t="n">
        <x:v>28</x:v>
      </x:c>
      <x:c r="C6" t="n">
        <x:v>47</x:v>
      </x:c>
      <x:c r="D6" t="n">
        <x:v>27</x:v>
      </x:c>
      <x:c r="E6" t="n">
        <x:v>13</x:v>
      </x:c>
      <x:c r="F6" t="n">
        <x:v>4</x:v>
      </x:c>
      <x:c r="G6" t="n">
        <x:v>4.4</x:v>
      </x:c>
      <x:c r="H6" s="20" t="n">
        <x:v>90</x:v>
      </x:c>
      <x:c r="I6" t="n">
        <x:v>17</x:v>
      </x:c>
      <x:c r="J6" t="str">
        <x:v>Low</x:v>
      </x:c>
    </x:row>
    <x:row r="7">
      <x:c r="A7" t="str">
        <x:v>Jun</x:v>
      </x:c>
      <x:c r="B7" t="n">
        <x:v>29</x:v>
      </x:c>
      <x:c r="C7" t="n">
        <x:v>50</x:v>
      </x:c>
      <x:c r="D7" t="n">
        <x:v>30</x:v>
      </x:c>
      <x:c r="E7" t="n">
        <x:v>14</x:v>
      </x:c>
      <x:c r="F7" t="n">
        <x:v>5</x:v>
      </x:c>
      <x:c r="G7" t="n">
        <x:v>4.2</x:v>
      </x:c>
      <x:c r="H7" s="20" t="n">
        <x:v>91</x:v>
      </x:c>
      <x:c r="I7" t="n">
        <x:v>18</x:v>
      </x:c>
      <x:c r="J7" t="str">
        <x:v>Low</x:v>
      </x:c>
    </x:row>
    <x:row r="8">
      <x:c r="A8" t="str">
        <x:v>Jul</x:v>
      </x:c>
      <x:c r="B8" t="n">
        <x:v>30</x:v>
      </x:c>
      <x:c r="C8" t="n">
        <x:v>53</x:v>
      </x:c>
      <x:c r="D8" t="n">
        <x:v>32</x:v>
      </x:c>
      <x:c r="E8" t="n">
        <x:v>15</x:v>
      </x:c>
      <x:c r="F8" t="n">
        <x:v>5</x:v>
      </x:c>
      <x:c r="G8" t="n">
        <x:v>4.5</x:v>
      </x:c>
      <x:c r="H8" s="20" t="n">
        <x:v>89</x:v>
      </x:c>
      <x:c r="I8" t="n">
        <x:v>19</x:v>
      </x:c>
      <x:c r="J8" t="str">
        <x:v>Medium</x:v>
      </x:c>
    </x:row>
    <x:row r="9">
      <x:c r="A9" t="str">
        <x:v>Aug</x:v>
      </x:c>
      <x:c r="B9" t="n">
        <x:v>31</x:v>
      </x:c>
      <x:c r="C9" t="n">
        <x:v>55</x:v>
      </x:c>
      <x:c r="D9" t="n">
        <x:v>34</x:v>
      </x:c>
      <x:c r="E9" t="n">
        <x:v>16</x:v>
      </x:c>
      <x:c r="F9" t="n">
        <x:v>5</x:v>
      </x:c>
      <x:c r="G9" t="n">
        <x:v>4.1</x:v>
      </x:c>
      <x:c r="H9" s="20" t="n">
        <x:v>91</x:v>
      </x:c>
      <x:c r="I9" t="n">
        <x:v>21</x:v>
      </x:c>
      <x:c r="J9" t="str">
        <x:v>Low</x:v>
      </x:c>
    </x:row>
    <x:row r="10">
      <x:c r="A10" t="str">
        <x:v>Sep</x:v>
      </x:c>
      <x:c r="B10" t="n">
        <x:v>32</x:v>
      </x:c>
      <x:c r="C10" t="n">
        <x:v>58</x:v>
      </x:c>
      <x:c r="D10" t="n">
        <x:v>37</x:v>
      </x:c>
      <x:c r="E10" t="n">
        <x:v>17</x:v>
      </x:c>
      <x:c r="F10" t="n">
        <x:v>6</x:v>
      </x:c>
      <x:c r="G10" t="n">
        <x:v>3.9</x:v>
      </x:c>
      <x:c r="H10" s="20" t="n">
        <x:v>92</x:v>
      </x:c>
      <x:c r="I10" t="n">
        <x:v>22</x:v>
      </x:c>
      <x:c r="J10" t="str">
        <x:v>Low</x:v>
      </x:c>
    </x:row>
    <x:row r="11">
      <x:c r="A11" t="str">
        <x:v>Oct</x:v>
      </x:c>
      <x:c r="B11" t="n">
        <x:v>33</x:v>
      </x:c>
      <x:c r="C11" t="n">
        <x:v>61</x:v>
      </x:c>
      <x:c r="D11" t="n">
        <x:v>39</x:v>
      </x:c>
      <x:c r="E11" t="n">
        <x:v>18</x:v>
      </x:c>
      <x:c r="F11" t="n">
        <x:v>6</x:v>
      </x:c>
      <x:c r="G11" t="n">
        <x:v>3.7</x:v>
      </x:c>
      <x:c r="H11" s="20" t="n">
        <x:v>93</x:v>
      </x:c>
      <x:c r="I11" t="n">
        <x:v>24</x:v>
      </x:c>
      <x:c r="J11" t="str">
        <x:v>Low</x:v>
      </x:c>
    </x:row>
    <x:row r="12">
      <x:c r="A12" t="str">
        <x:v>Nov</x:v>
      </x:c>
      <x:c r="B12" t="n">
        <x:v>34</x:v>
      </x:c>
      <x:c r="C12" t="n">
        <x:v>63</x:v>
      </x:c>
      <x:c r="D12" t="n">
        <x:v>41</x:v>
      </x:c>
      <x:c r="E12" t="n">
        <x:v>19</x:v>
      </x:c>
      <x:c r="F12" t="n">
        <x:v>6</x:v>
      </x:c>
      <x:c r="G12" t="n">
        <x:v>3.8</x:v>
      </x:c>
      <x:c r="H12" s="20" t="n">
        <x:v>92</x:v>
      </x:c>
      <x:c r="I12" t="n">
        <x:v>25</x:v>
      </x:c>
      <x:c r="J12" t="str">
        <x:v>Low</x:v>
      </x:c>
    </x:row>
    <x:row r="13">
      <x:c r="A13" t="str">
        <x:v>Dec</x:v>
      </x:c>
      <x:c r="B13" t="n">
        <x:v>35</x:v>
      </x:c>
      <x:c r="C13" t="n">
        <x:v>66</x:v>
      </x:c>
      <x:c r="D13" t="n">
        <x:v>44</x:v>
      </x:c>
      <x:c r="E13" t="n">
        <x:v>20</x:v>
      </x:c>
      <x:c r="F13" t="n">
        <x:v>7</x:v>
      </x:c>
      <x:c r="G13" t="n">
        <x:v>3.5</x:v>
      </x:c>
      <x:c r="H13" s="20" t="n">
        <x:v>94</x:v>
      </x:c>
      <x:c r="I13" t="n">
        <x:v>27</x:v>
      </x:c>
      <x:c r="J13" t="str">
        <x:v>Low</x:v>
      </x:c>
    </x:row>
  </x:sheetData>
  <x:conditionalFormatting sqref="H2:H1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84e82cee44f4e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34" customHeight="1">
      <x:c r="A1" s="6" t="str">
        <x:v>Metric</x:v>
      </x:c>
      <x:c r="B1" s="6" t="str">
        <x:v>Value</x:v>
      </x:c>
      <x:c r="C1" s="6" t="str">
        <x:v>Notes</x:v>
      </x:c>
      <x:c r="D1" s="6" t="str">
        <x:v>Source Sheet</x:v>
      </x:c>
      <x:c r="E1" s="6" t="str">
        <x:v>Formula/Logic</x:v>
      </x:c>
    </x:row>
    <x:row r="2">
      <x:c r="A2" t="str">
        <x:v>Total Beneficiaries Reached</x:v>
      </x:c>
      <x:c r="B2" s="22" t="n">
        <x:f>SUM(Program_Impact!F2:F37)</x:f>
        <x:v>16590</x:v>
      </x:c>
      <x:c r="C2" t="str">
        <x:v>Total people reached across all programs</x:v>
      </x:c>
      <x:c r="D2" t="str">
        <x:v>Program_Impact</x:v>
      </x:c>
      <x:c r="E2" t="n">
        <x:f>SUM(Program_Impact!F2:F37)</x:f>
        <x:v>16590</x:v>
      </x:c>
    </x:row>
    <x:row r="3">
      <x:c r="A3" t="str">
        <x:v>Total Refugees Supported</x:v>
      </x:c>
      <x:c r="B3" s="22" t="n">
        <x:f>SUM(Program_Impact!J2:J37)</x:f>
        <x:v>9890</x:v>
      </x:c>
      <x:c r="C3" t="str">
        <x:v>Total refugees reached</x:v>
      </x:c>
      <x:c r="D3" t="str">
        <x:v>Program_Impact</x:v>
      </x:c>
      <x:c r="E3" t="n">
        <x:f>SUM(Program_Impact!J2:J37)</x:f>
        <x:v>9890</x:v>
      </x:c>
    </x:row>
    <x:row r="4">
      <x:c r="A4" t="str">
        <x:v>Total Local Vulnerable People Supported</x:v>
      </x:c>
      <x:c r="B4" s="22" t="n">
        <x:f>SUM(Program_Impact!K2:K37)</x:f>
        <x:v>6700</x:v>
      </x:c>
      <x:c r="C4" t="str">
        <x:v>Total local vulnerable people reached</x:v>
      </x:c>
      <x:c r="D4" t="str">
        <x:v>Program_Impact</x:v>
      </x:c>
      <x:c r="E4" t="n">
        <x:f>SUM(Program_Impact!K2:K37)</x:f>
        <x:v>6700</x:v>
      </x:c>
    </x:row>
    <x:row r="5">
      <x:c r="A5" t="str">
        <x:v>Total Funding Received USD</x:v>
      </x:c>
      <x:c r="B5" s="22" t="n">
        <x:f>SUM(Funding_Donor_Tracking!F2:F13)</x:f>
        <x:v>871500</x:v>
      </x:c>
      <x:c r="C5" t="str">
        <x:v>Total donor funding received</x:v>
      </x:c>
      <x:c r="D5" t="str">
        <x:v>Funding_Donor_Tracking</x:v>
      </x:c>
      <x:c r="E5" t="n">
        <x:f>SUM(Funding_Donor_Tracking!F2:F13)</x:f>
        <x:v>871500</x:v>
      </x:c>
    </x:row>
    <x:row r="6">
      <x:c r="A6" t="str">
        <x:v>Total Funding Used USD</x:v>
      </x:c>
      <x:c r="B6" s="22" t="n">
        <x:f>SUM(Funding_Donor_Tracking!G2:G13)</x:f>
        <x:v>714900</x:v>
      </x:c>
      <x:c r="C6" t="str">
        <x:v>Total donor funding spent</x:v>
      </x:c>
      <x:c r="D6" t="str">
        <x:v>Funding_Donor_Tracking</x:v>
      </x:c>
      <x:c r="E6" t="n">
        <x:f>SUM(Funding_Donor_Tracking!G2:G13)</x:f>
        <x:v>714900</x:v>
      </x:c>
    </x:row>
    <x:row r="7">
      <x:c r="A7" t="str">
        <x:v>Average Funding Utilization %</x:v>
      </x:c>
      <x:c r="B7" s="22" t="n">
        <x:f>AVERAGE(Funding_Donor_Tracking!I2:I13)</x:f>
        <x:v>81.30833333333334</x:v>
      </x:c>
      <x:c r="C7" t="str">
        <x:v>Average grant utilization</x:v>
      </x:c>
      <x:c r="D7" t="str">
        <x:v>Funding_Donor_Tracking</x:v>
      </x:c>
      <x:c r="E7" t="n">
        <x:f>AVERAGE(Funding_Donor_Tracking!I2:I13)</x:f>
        <x:v>81.30833333333334</x:v>
      </x:c>
    </x:row>
    <x:row r="8">
      <x:c r="A8" t="str">
        <x:v>Average Satisfaction Rate %</x:v>
      </x:c>
      <x:c r="B8" s="22" t="n">
        <x:f>AVERAGE(Program_Impact!N2:N37)</x:f>
        <x:v>89.97222222222223</x:v>
      </x:c>
      <x:c r="C8" t="str">
        <x:v>Average beneficiary satisfaction</x:v>
      </x:c>
      <x:c r="D8" t="str">
        <x:v>Program_Impact</x:v>
      </x:c>
      <x:c r="E8" t="n">
        <x:f>AVERAGE(Program_Impact!N2:N37)</x:f>
        <x:v>89.97222222222223</x:v>
      </x:c>
    </x:row>
    <x:row r="9">
      <x:c r="A9" t="str">
        <x:v>Total Field Visits</x:v>
      </x:c>
      <x:c r="B9" s="22" t="n">
        <x:f>SUM(Operations_Monitoring!D2:D13)</x:f>
        <x:v>370</x:v>
      </x:c>
      <x:c r="C9" t="str">
        <x:v>Total field visits completed</x:v>
      </x:c>
      <x:c r="D9" t="str">
        <x:v>Operations_Monitoring</x:v>
      </x:c>
      <x:c r="E9" t="n">
        <x:f>SUM(Operations_Monitoring!D2:D13)</x:f>
        <x:v>370</x:v>
      </x:c>
    </x:row>
    <x:row r="10">
      <x:c r="A10" t="str">
        <x:v>Average Data Quality Score %</x:v>
      </x:c>
      <x:c r="B10" s="22" t="n">
        <x:f>AVERAGE(Operations_Monitoring!H2:H13)</x:f>
        <x:v>90.16666666666667</x:v>
      </x:c>
      <x:c r="C10" t="str">
        <x:v>Average data quality score</x:v>
      </x:c>
      <x:c r="D10" t="str">
        <x:v>Operations_Monitoring</x:v>
      </x:c>
      <x:c r="E10" t="n">
        <x:f>AVERAGE(Operations_Monitoring!H2:H13)</x:f>
        <x:v>90.16666666666667</x:v>
      </x:c>
    </x:row>
  </x:sheetData>
  <x:pageMargins left="0.7" right="0.7" top="0.75" bottom="0.75" header="0.3" footer="0.3"/>
  <x:drawing xmlns:r="http://schemas.openxmlformats.org/officeDocument/2006/relationships" r:id="R858f3560642a4193"/>
  <x:tableParts count="1">
    <x:tablePart xmlns:r="http://schemas.openxmlformats.org/officeDocument/2006/relationships" r:id="R0ed693253fe149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2" t="str">
        <x:v>Workbook Purpose</x:v>
      </x:c>
    </x:row>
    <x:row r="2">
      <x:c r="A2" s="12" t="str">
        <x:v>This workbook contains a realistic NGO operations, funding, donor, and impact dataset for a local NGO in Rwanda supporting refugees and vulnerable local communities.</x:v>
      </x:c>
    </x:row>
    <x:row r="3">
      <x:c r="A3" s="12" t="str"/>
    </x:row>
    <x:row r="4">
      <x:c r="A4" s="12" t="str">
        <x:v>Recommended Project Name</x:v>
      </x:c>
    </x:row>
    <x:row r="5">
      <x:c r="A5" s="12" t="str">
        <x:v>NGO Operations, Funding &amp; Impact Dashboard</x:v>
      </x:c>
    </x:row>
    <x:row r="6">
      <x:c r="A6" s="12" t="str"/>
    </x:row>
    <x:row r="7">
      <x:c r="A7" s="12" t="str">
        <x:v>Suggested Dashboard Pages</x:v>
      </x:c>
    </x:row>
    <x:row r="8">
      <x:c r="A8" s="12" t="str">
        <x:v>1. Executive Overview</x:v>
      </x:c>
    </x:row>
    <x:row r="9">
      <x:c r="A9" s="12" t="str">
        <x:v>2. Funding &amp; Donor Analytics</x:v>
      </x:c>
    </x:row>
    <x:row r="10">
      <x:c r="A10" s="12" t="str">
        <x:v>3. Program Impact Dashboard</x:v>
      </x:c>
    </x:row>
    <x:row r="11">
      <x:c r="A11" s="12" t="str">
        <x:v>4. Operations &amp; Monitoring Dashboard</x:v>
      </x:c>
    </x:row>
    <x:row r="12">
      <x:c r="A12" s="12" t="str"/>
    </x:row>
    <x:row r="13">
      <x:c r="A13" s="12" t="str">
        <x:v>Suggested Tools</x:v>
      </x:c>
    </x:row>
    <x:row r="14">
      <x:c r="A14" s="12" t="str">
        <x:v>Tableau Public, Power BI, Excel, SQL, Python, Kaggle, GitHub</x:v>
      </x:c>
    </x:row>
    <x:row r="15">
      <x:c r="A15" s="12" t="str"/>
    </x:row>
    <x:row r="16">
      <x:c r="A16" s="12" t="str">
        <x:v>Note</x:v>
      </x:c>
    </x:row>
    <x:row r="17">
      <x:c r="A17" s="12" t="str">
        <x:v>This is synthetic portfolio data inspired by realistic NGO reporting workflows. Do not present it as confidential real organizational data.</x:v>
      </x:c>
    </x:row>
  </x:sheetData>
  <x:pageMargins left="0.7" right="0.7" top="0.75" bottom="0.75" header="0.3" footer="0.3"/>
</x:worksheet>
</file>